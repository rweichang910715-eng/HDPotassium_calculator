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3q79YWAVTVlBJyxzUkVQvQgJGezhjOZekOaKnSe6MA0="/>
    </ext>
  </extLst>
</workbook>
</file>

<file path=xl/sharedStrings.xml><?xml version="1.0" encoding="utf-8"?>
<sst xmlns="http://schemas.openxmlformats.org/spreadsheetml/2006/main" count="21" uniqueCount="16">
  <si>
    <t>總稀釋倍數</t>
  </si>
  <si>
    <t>A液容量(L)</t>
  </si>
  <si>
    <t>透析液中目標鉀濃度(mEq)</t>
  </si>
  <si>
    <t>外加鉀(mEq)</t>
  </si>
  <si>
    <t>已進行透析時間(min)</t>
  </si>
  <si>
    <t>透析流速(ml/min)</t>
  </si>
  <si>
    <t>A液中鉀濃度(mEq/L)</t>
  </si>
  <si>
    <t>預期A液中鉀濃度(mEq/L)</t>
  </si>
  <si>
    <t>剩下A液含量</t>
  </si>
  <si>
    <t>A液剩下鉀含量</t>
  </si>
  <si>
    <t>預期A液中鉀含量</t>
  </si>
  <si>
    <t>外加鉀後A液鉀含量</t>
  </si>
  <si>
    <t>總共要外加多少鉀</t>
  </si>
  <si>
    <t>外加鉀後A液鉀濃度</t>
  </si>
  <si>
    <t>相當於原本加多少mEq的鉀</t>
  </si>
  <si>
    <t>透析液中鉀濃度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</si>
</sst>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5" width="6.78"/>
    <col customWidth="1" min="6" max="6" width="21.11"/>
    <col customWidth="1" min="7" max="7" width="8.0"/>
    <col customWidth="1" min="8" max="26" width="6.78"/>
  </cols>
  <sheetData>
    <row r="1" ht="15.75" customHeight="1">
      <c r="A1" s="1" t="s">
        <v>0</v>
      </c>
      <c r="B1" s="2">
        <v>36.83</v>
      </c>
      <c r="F1" s="1" t="s">
        <v>0</v>
      </c>
      <c r="G1" s="2">
        <v>36.83</v>
      </c>
    </row>
    <row r="2" ht="15.75" customHeight="1">
      <c r="A2" s="1" t="s">
        <v>1</v>
      </c>
      <c r="B2" s="2">
        <v>3.8</v>
      </c>
      <c r="F2" s="2" t="s">
        <v>2</v>
      </c>
      <c r="G2" s="2">
        <v>3.0</v>
      </c>
    </row>
    <row r="3" ht="15.75" customHeight="1">
      <c r="A3" s="1" t="s">
        <v>3</v>
      </c>
      <c r="B3" s="2">
        <v>140.0</v>
      </c>
      <c r="F3" s="1" t="s">
        <v>1</v>
      </c>
      <c r="G3" s="2">
        <v>3.8</v>
      </c>
    </row>
    <row r="4" ht="15.75" customHeight="1">
      <c r="A4" s="1" t="s">
        <v>4</v>
      </c>
      <c r="B4" s="2">
        <v>0.0</v>
      </c>
      <c r="F4" s="1" t="s">
        <v>4</v>
      </c>
      <c r="G4" s="2">
        <v>50.0</v>
      </c>
    </row>
    <row r="5" ht="15.75" customHeight="1">
      <c r="A5" s="2" t="s">
        <v>5</v>
      </c>
      <c r="B5" s="2">
        <v>500.0</v>
      </c>
      <c r="F5" s="2" t="s">
        <v>5</v>
      </c>
      <c r="G5" s="2">
        <v>500.0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>
      <c r="A12" s="1" t="s">
        <v>6</v>
      </c>
      <c r="B12" s="1">
        <f>B1*2</f>
        <v>73.66</v>
      </c>
      <c r="F12" s="2" t="s">
        <v>7</v>
      </c>
      <c r="G12" s="1">
        <f>G1*G2</f>
        <v>110.49</v>
      </c>
    </row>
    <row r="13" ht="15.75" customHeight="1">
      <c r="A13" s="1" t="s">
        <v>8</v>
      </c>
      <c r="B13" s="1">
        <f>B2-B4*(B5/1000)/B1</f>
        <v>3.8</v>
      </c>
      <c r="F13" s="1" t="s">
        <v>8</v>
      </c>
      <c r="G13" s="1">
        <f>G3-(G5/1000)*G4/G1</f>
        <v>3.121205539</v>
      </c>
    </row>
    <row r="14" ht="15.75" customHeight="1">
      <c r="A14" s="1" t="s">
        <v>9</v>
      </c>
      <c r="B14" s="1">
        <f>B13*B12</f>
        <v>279.908</v>
      </c>
      <c r="F14" s="2" t="s">
        <v>10</v>
      </c>
      <c r="G14" s="1">
        <f>G12*G13</f>
        <v>344.862</v>
      </c>
    </row>
    <row r="15" ht="15.75" customHeight="1">
      <c r="A15" s="1" t="s">
        <v>11</v>
      </c>
      <c r="B15" s="1">
        <f>B14+B3</f>
        <v>419.908</v>
      </c>
      <c r="F15" s="2" t="s">
        <v>12</v>
      </c>
      <c r="G15" s="1">
        <f>G14-2*G1*G13</f>
        <v>114.954</v>
      </c>
    </row>
    <row r="16" ht="15.75" customHeight="1">
      <c r="A16" s="1" t="s">
        <v>13</v>
      </c>
      <c r="B16" s="1">
        <f>B15/B13</f>
        <v>110.5021053</v>
      </c>
    </row>
    <row r="17" ht="15.75" customHeight="1">
      <c r="A17" s="3" t="s">
        <v>14</v>
      </c>
      <c r="B17" s="3">
        <f>B16*B2-B12*B2</f>
        <v>140</v>
      </c>
    </row>
    <row r="18" ht="15.75" customHeight="1">
      <c r="A18" s="2" t="s">
        <v>15</v>
      </c>
      <c r="B18" s="1">
        <f>B16/B1</f>
        <v>3.000328679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2026-07-02T14:27:45Z</dcterms:created>
  <dc:creator>yuwei</dc:creator>
</cp:coreProperties>
</file>